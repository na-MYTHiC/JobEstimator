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_Tool" sheetId="1" r:id="rId5"/>
    <sheet state="visible" name="Price_and_Sizes" sheetId="2" r:id="rId6"/>
  </sheets>
  <definedNames>
    <definedName name="TOTAL_UNITS">Pricing_Tool!$C$83</definedName>
    <definedName name="COLOR_DC">Price_and_Sizes!$C$82</definedName>
    <definedName name="COLOR_WB">Price_and_Sizes!$C$81</definedName>
    <definedName name="COLOR_BB">Price_and_Sizes!$C$83</definedName>
  </definedNames>
  <calcPr/>
</workbook>
</file>

<file path=xl/sharedStrings.xml><?xml version="1.0" encoding="utf-8"?>
<sst xmlns="http://schemas.openxmlformats.org/spreadsheetml/2006/main" count="286" uniqueCount="100">
  <si>
    <t>TEMPEST WINDOWS  •  Sales Rep Pricing Calculator</t>
  </si>
  <si>
    <t>Volume Tier (auto)</t>
  </si>
  <si>
    <t>Reset Trigger:</t>
  </si>
  <si>
    <t>TOTAL UNITS</t>
  </si>
  <si>
    <t>TOTAL AMOUNT</t>
  </si>
  <si>
    <t>MEZZO</t>
  </si>
  <si>
    <t>Style</t>
  </si>
  <si>
    <t>White / Beige</t>
  </si>
  <si>
    <t>Desert Clay</t>
  </si>
  <si>
    <t>Black / Bronze</t>
  </si>
  <si>
    <t>Line Price</t>
  </si>
  <si>
    <t>Double Hung</t>
  </si>
  <si>
    <t>2 Lite Slider</t>
  </si>
  <si>
    <t>Picture</t>
  </si>
  <si>
    <t>Picture &gt;120</t>
  </si>
  <si>
    <t>3 Lite Slider</t>
  </si>
  <si>
    <t>Specialty</t>
  </si>
  <si>
    <t>Specialty SH</t>
  </si>
  <si>
    <t>Specialty &gt;101</t>
  </si>
  <si>
    <t>CASEMENT / AWNING</t>
  </si>
  <si>
    <t>Casement</t>
  </si>
  <si>
    <t>Awning</t>
  </si>
  <si>
    <t>2L Casement</t>
  </si>
  <si>
    <t>3L Casement</t>
  </si>
  <si>
    <t>4L Casement</t>
  </si>
  <si>
    <t>5L Casement</t>
  </si>
  <si>
    <t>FUSION</t>
  </si>
  <si>
    <t>BERTHA (DO NOT SELL)</t>
  </si>
  <si>
    <t>Single Hung</t>
  </si>
  <si>
    <t>143 SERIES  (DO NOT SELL)</t>
  </si>
  <si>
    <t>PATIO DOORS</t>
  </si>
  <si>
    <t>Item</t>
  </si>
  <si>
    <t>Count</t>
  </si>
  <si>
    <t>5'</t>
  </si>
  <si>
    <t>6'</t>
  </si>
  <si>
    <t>6'2" - 8'</t>
  </si>
  <si>
    <t>9'</t>
  </si>
  <si>
    <t>12'</t>
  </si>
  <si>
    <t>ADDITIONAL OPTIONS</t>
  </si>
  <si>
    <t>Tempered</t>
  </si>
  <si>
    <t>1/2 Tempered</t>
  </si>
  <si>
    <t>Obscure</t>
  </si>
  <si>
    <t>Rain</t>
  </si>
  <si>
    <t>Glue Chip</t>
  </si>
  <si>
    <t>Satin</t>
  </si>
  <si>
    <t>Grids</t>
  </si>
  <si>
    <t>Triple Pane</t>
  </si>
  <si>
    <t>Triple Pane &gt;101</t>
  </si>
  <si>
    <t>Difficult Install</t>
  </si>
  <si>
    <t>Glass Block Removal</t>
  </si>
  <si>
    <t>New Sill</t>
  </si>
  <si>
    <t>Solar Cool Bronze Window</t>
  </si>
  <si>
    <t>Solar Cool Bronze Patio Door</t>
  </si>
  <si>
    <t>Full Screen</t>
  </si>
  <si>
    <t>(internal) Total Primary Units</t>
  </si>
  <si>
    <t>PAR PRICES</t>
  </si>
  <si>
    <t xml:space="preserve">SIZE LIMITS </t>
  </si>
  <si>
    <t>1–9</t>
  </si>
  <si>
    <t>10–19</t>
  </si>
  <si>
    <t>20+</t>
  </si>
  <si>
    <t>Min W (")</t>
  </si>
  <si>
    <t>Max W (")</t>
  </si>
  <si>
    <t>Min H (")</t>
  </si>
  <si>
    <t>Max H (")</t>
  </si>
  <si>
    <t>DH</t>
  </si>
  <si>
    <t>2LS</t>
  </si>
  <si>
    <t>3LS 192 UI</t>
  </si>
  <si>
    <t>PIC 154 UI</t>
  </si>
  <si>
    <t>TRAPEZOID 154 UI</t>
  </si>
  <si>
    <t>6 / 12</t>
  </si>
  <si>
    <t>TRAP 192 UI</t>
  </si>
  <si>
    <t>6 / 11.5</t>
  </si>
  <si>
    <t>96 / 107</t>
  </si>
  <si>
    <t>CIR TOP</t>
  </si>
  <si>
    <t>1–14</t>
  </si>
  <si>
    <t>15+</t>
  </si>
  <si>
    <t>SPEC SH</t>
  </si>
  <si>
    <t>CIR T w/leg 148 UI</t>
  </si>
  <si>
    <t>2 LITE 200</t>
  </si>
  <si>
    <t>3 LITE 216 UI</t>
  </si>
  <si>
    <t>4 LITE 240 UI</t>
  </si>
  <si>
    <t>MEZZO TRIPLE PANE</t>
  </si>
  <si>
    <t>PIC</t>
  </si>
  <si>
    <t>CIRCLE</t>
  </si>
  <si>
    <t>MEZZO STUCCO SPECIALTY</t>
  </si>
  <si>
    <t>BERTHA  (Impact)</t>
  </si>
  <si>
    <t>CIRCLE TOP</t>
  </si>
  <si>
    <t>CASEMENT / AWNING  —  fill in when finalized</t>
  </si>
  <si>
    <t>143 SERIES  (Impact)</t>
  </si>
  <si>
    <t>BERTHA  (Impact)  —  fill in when finalized</t>
  </si>
  <si>
    <t>Size</t>
  </si>
  <si>
    <t>Price</t>
  </si>
  <si>
    <t>143 SERIES  (Impact)  —  fill in when finalized</t>
  </si>
  <si>
    <t>Option</t>
  </si>
  <si>
    <t>Notes:  Any DH between 72" and 96", or any DH with a top sash ≥ 36", must use a SH.  Use 80 Series on any Circle Top if width is below 27" (available down to 23.5").</t>
  </si>
  <si>
    <t>Commission Par:  $500 or less below par → 9%   •   More than $500 below par → 7%   •   No deals more than 10% below floor accepted.</t>
  </si>
  <si>
    <t>COLOR UPCHARGE FACTORS</t>
  </si>
  <si>
    <t>Color</t>
  </si>
  <si>
    <t>Multiplier</t>
  </si>
  <si>
    <t>Upcharge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</si>
</sst>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;&quot;($&quot;#,##0\);\-"/>
  </numFmts>
  <fonts count="20">
    <font>
      <sz val="11.0"/>
      <color theme="1"/>
      <name val="Calibri"/>
      <scheme val="minor"/>
    </font>
    <font>
      <color theme="1"/>
      <name val="Calibri"/>
    </font>
    <font>
      <b/>
      <sz val="15.0"/>
      <color rgb="FFFFFFFF"/>
      <name val="Calibri"/>
    </font>
    <font/>
    <font>
      <b/>
      <sz val="12.0"/>
      <color rgb="FFFFFFFF"/>
      <name val="Calibri"/>
    </font>
    <font>
      <b/>
      <sz val="12.0"/>
      <color rgb="FF0F2440"/>
      <name val="Calibri"/>
    </font>
    <font>
      <b/>
      <color rgb="FFFFFFFF"/>
      <name val="Calibri"/>
    </font>
    <font>
      <b/>
      <sz val="12.0"/>
      <color rgb="FF000000"/>
      <name val="Calibri"/>
    </font>
    <font>
      <b/>
      <sz val="11.0"/>
      <color rgb="FFFFFFFF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0.0"/>
      <color theme="1"/>
      <name val="Calibri"/>
    </font>
    <font>
      <i/>
      <sz val="9.0"/>
      <color rgb="FF888888"/>
      <name val="Calibri"/>
    </font>
    <font>
      <b/>
      <sz val="12.0"/>
      <color rgb="FFFFFFFF"/>
      <name val="Arial"/>
    </font>
    <font>
      <b/>
      <sz val="10.0"/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i/>
      <sz val="9.0"/>
      <color rgb="FF555555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2F4F7"/>
        <bgColor rgb="FFF2F4F7"/>
      </patternFill>
    </fill>
    <fill>
      <patternFill patternType="solid">
        <fgColor rgb="FF980000"/>
        <bgColor rgb="FF980000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F3A5F"/>
        <bgColor rgb="FF1F3A5F"/>
      </patternFill>
    </fill>
    <fill>
      <patternFill patternType="solid">
        <fgColor rgb="FF0F2440"/>
        <bgColor rgb="FF0F2440"/>
      </patternFill>
    </fill>
    <fill>
      <patternFill patternType="solid">
        <fgColor rgb="FFC8102E"/>
        <bgColor rgb="FFC8102E"/>
      </patternFill>
    </fill>
  </fills>
  <borders count="22">
    <border/>
    <border>
      <left/>
      <top/>
    </border>
    <border>
      <top/>
    </border>
    <border>
      <right/>
      <top/>
    </border>
    <border>
      <left/>
      <bottom style="thin">
        <color rgb="FF8A94A6"/>
      </bottom>
    </border>
    <border>
      <bottom style="thin">
        <color rgb="FF8A94A6"/>
      </bottom>
    </border>
    <border>
      <right/>
      <bottom style="thin">
        <color rgb="FF8A94A6"/>
      </bottom>
    </border>
    <border>
      <left style="thin">
        <color rgb="FF8A94A6"/>
      </left>
      <top style="thin">
        <color rgb="FF8A94A6"/>
      </top>
      <bottom style="thin">
        <color rgb="FF8A94A6"/>
      </bottom>
    </border>
    <border>
      <right style="thin">
        <color rgb="FF8A94A6"/>
      </right>
      <top style="thin">
        <color rgb="FF8A94A6"/>
      </top>
      <bottom style="thin">
        <color rgb="FF8A94A6"/>
      </bottom>
    </border>
    <border>
      <top style="thin">
        <color rgb="FF8A94A6"/>
      </top>
      <bottom style="thin">
        <color rgb="FF8A94A6"/>
      </bottom>
    </border>
    <border>
      <right/>
      <top style="thin">
        <color rgb="FF8A94A6"/>
      </top>
      <bottom style="thin">
        <color rgb="FF8A94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A94A6"/>
      </left>
      <top style="thin">
        <color rgb="FF8A94A6"/>
      </top>
    </border>
    <border>
      <right style="thin">
        <color rgb="FF8A94A6"/>
      </right>
      <top style="thin">
        <color rgb="FF8A94A6"/>
      </top>
    </border>
    <border>
      <left style="thin">
        <color rgb="FF8A94A6"/>
      </left>
      <right style="thin">
        <color rgb="FF8A94A6"/>
      </right>
      <top style="thin">
        <color rgb="FF8A94A6"/>
      </top>
    </border>
    <border>
      <left style="thin">
        <color rgb="FF8A94A6"/>
      </left>
      <bottom/>
    </border>
    <border>
      <right style="thin">
        <color rgb="FF8A94A6"/>
      </right>
      <bottom/>
    </border>
    <border>
      <left style="thin">
        <color rgb="FF8A94A6"/>
      </left>
      <right style="thin">
        <color rgb="FF8A94A6"/>
      </right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8A94A6"/>
      </left>
      <right style="thin">
        <color rgb="FF8A94A6"/>
      </right>
      <top style="thin">
        <color rgb="FF8A94A6"/>
      </top>
      <bottom style="thin">
        <color rgb="FF8A94A6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ill="1" applyFont="1">
      <alignment horizontal="center" vertical="center"/>
    </xf>
    <xf borderId="8" fillId="0" fontId="3" numFmtId="0" xfId="0" applyBorder="1" applyFont="1"/>
    <xf borderId="7" fillId="4" fontId="5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5" fontId="6" numFmtId="0" xfId="0" applyAlignment="1" applyBorder="1" applyFill="1" applyFont="1">
      <alignment readingOrder="0"/>
    </xf>
    <xf borderId="12" fillId="6" fontId="4" numFmtId="0" xfId="0" applyAlignment="1" applyBorder="1" applyFill="1" applyFont="1">
      <alignment horizontal="center" vertical="center"/>
    </xf>
    <xf borderId="13" fillId="0" fontId="3" numFmtId="0" xfId="0" applyBorder="1" applyFont="1"/>
    <xf borderId="14" fillId="4" fontId="7" numFmtId="1" xfId="0" applyAlignment="1" applyBorder="1" applyFont="1" applyNumberFormat="1">
      <alignment horizontal="center" vertical="center"/>
    </xf>
    <xf borderId="14" fillId="7" fontId="4" numFmtId="0" xfId="0" applyAlignment="1" applyBorder="1" applyFill="1" applyFont="1">
      <alignment horizontal="center" shrinkToFit="0" vertical="center" wrapText="1"/>
    </xf>
    <xf borderId="14" fillId="4" fontId="7" numFmtId="16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readingOrder="0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2" fontId="4" numFmtId="0" xfId="0" applyAlignment="1" applyBorder="1" applyFont="1">
      <alignment horizontal="left" vertical="center"/>
    </xf>
    <xf borderId="19" fillId="0" fontId="3" numFmtId="0" xfId="0" applyBorder="1" applyFont="1"/>
    <xf borderId="20" fillId="0" fontId="3" numFmtId="0" xfId="0" applyBorder="1" applyFont="1"/>
    <xf borderId="21" fillId="6" fontId="8" numFmtId="0" xfId="0" applyAlignment="1" applyBorder="1" applyFont="1">
      <alignment horizontal="center" shrinkToFit="0" vertical="center" wrapText="1"/>
    </xf>
    <xf borderId="21" fillId="7" fontId="8" numFmtId="0" xfId="0" applyAlignment="1" applyBorder="1" applyFont="1">
      <alignment horizontal="center" shrinkToFit="0" vertical="center" wrapText="1"/>
    </xf>
    <xf borderId="21" fillId="4" fontId="9" numFmtId="0" xfId="0" applyAlignment="1" applyBorder="1" applyFont="1">
      <alignment horizontal="left" vertical="center"/>
    </xf>
    <xf borderId="21" fillId="8" fontId="10" numFmtId="1" xfId="0" applyAlignment="1" applyBorder="1" applyFill="1" applyFont="1" applyNumberFormat="1">
      <alignment horizontal="center" readingOrder="0" vertical="center"/>
    </xf>
    <xf borderId="21" fillId="9" fontId="9" numFmtId="164" xfId="0" applyAlignment="1" applyBorder="1" applyFill="1" applyFont="1" applyNumberFormat="1">
      <alignment horizontal="right" vertical="center"/>
    </xf>
    <xf borderId="18" fillId="10" fontId="4" numFmtId="0" xfId="0" applyAlignment="1" applyBorder="1" applyFill="1" applyFont="1">
      <alignment horizontal="left" vertical="center"/>
    </xf>
    <xf borderId="21" fillId="11" fontId="8" numFmtId="0" xfId="0" applyAlignment="1" applyBorder="1" applyFill="1" applyFont="1">
      <alignment horizontal="center" shrinkToFit="0" vertical="center" wrapText="1"/>
    </xf>
    <xf borderId="21" fillId="12" fontId="8" numFmtId="0" xfId="0" applyAlignment="1" applyBorder="1" applyFill="1" applyFont="1">
      <alignment horizontal="center" shrinkToFit="0" vertical="center" wrapText="1"/>
    </xf>
    <xf borderId="21" fillId="8" fontId="11" numFmtId="1" xfId="0" applyAlignment="1" applyBorder="1" applyFont="1" applyNumberFormat="1">
      <alignment horizontal="center" readingOrder="0" vertical="center"/>
    </xf>
    <xf borderId="21" fillId="9" fontId="12" numFmtId="164" xfId="0" applyAlignment="1" applyBorder="1" applyFont="1" applyNumberFormat="1">
      <alignment horizontal="right" vertical="center"/>
    </xf>
    <xf borderId="21" fillId="4" fontId="13" numFmtId="0" xfId="0" applyBorder="1" applyFont="1"/>
    <xf borderId="0" fillId="0" fontId="14" numFmtId="0" xfId="0" applyAlignment="1" applyFont="1">
      <alignment horizontal="left"/>
    </xf>
    <xf borderId="21" fillId="9" fontId="9" numFmtId="1" xfId="0" applyAlignment="1" applyBorder="1" applyFont="1" applyNumberFormat="1">
      <alignment horizontal="right" vertical="center"/>
    </xf>
    <xf borderId="18" fillId="2" fontId="4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21" fillId="4" fontId="16" numFmtId="0" xfId="0" applyAlignment="1" applyBorder="1" applyFont="1">
      <alignment horizontal="left" vertical="center"/>
    </xf>
    <xf borderId="21" fillId="9" fontId="17" numFmtId="164" xfId="0" applyAlignment="1" applyBorder="1" applyFont="1" applyNumberFormat="1">
      <alignment horizontal="right" vertical="center"/>
    </xf>
    <xf borderId="21" fillId="9" fontId="18" numFmtId="0" xfId="0" applyAlignment="1" applyBorder="1" applyFont="1">
      <alignment horizontal="center" vertical="center"/>
    </xf>
    <xf borderId="21" fillId="4" fontId="18" numFmtId="0" xfId="0" applyAlignment="1" applyBorder="1" applyFont="1">
      <alignment horizontal="center" vertical="center"/>
    </xf>
    <xf borderId="0" fillId="0" fontId="19" numFmtId="0" xfId="0" applyAlignment="1" applyFont="1">
      <alignment vertical="center"/>
    </xf>
    <xf borderId="21" fillId="9" fontId="17" numFmtId="2" xfId="0" applyAlignment="1" applyBorder="1" applyFont="1" applyNumberFormat="1">
      <alignment horizontal="right" vertical="center"/>
    </xf>
    <xf borderId="21" fillId="9" fontId="17" numFmtId="9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39.29"/>
    <col customWidth="1" min="3" max="3" width="15.43"/>
    <col customWidth="1" min="4" max="4" width="15.57"/>
    <col customWidth="1" min="5" max="5" width="15.86"/>
    <col customWidth="1" min="6" max="6" width="29.29"/>
    <col customWidth="1" min="7" max="7" width="1.86"/>
    <col customWidth="1" min="8" max="8" width="13.0"/>
    <col customWidth="1" min="9" max="26" width="8.71"/>
  </cols>
  <sheetData>
    <row r="1">
      <c r="A1" s="1"/>
      <c r="B1" s="2" t="s">
        <v>0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/>
      <c r="D2" s="6"/>
      <c r="E2" s="6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1</v>
      </c>
      <c r="C3" s="9"/>
      <c r="D3" s="10" t="str">
        <f>IF(TOTAL_UNITS&lt;=0,"— enter quantities —",IF(TOTAL_UNITS&lt;=9,"1–9 (Mezzo/Bertha/143)  •  1–14 (Fusion/Casement)",IF(TOTAL_UNITS&lt;=14,"10–19 (Mezzo/Bertha/143)  •  1–14 (Fusion/Casement)",IF(TOTAL_UNITS&lt;=19,"10–19 (Mezzo/Bertha/143)  •  15+ (Fusion/Casement)","20+ (Mezzo/Bertha/143)  •  15+ (Fusion/Casement)"))))</f>
        <v>— enter quantities —</v>
      </c>
      <c r="E3" s="11"/>
      <c r="F3" s="12"/>
      <c r="G3" s="1"/>
      <c r="H3" s="13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4" t="s">
        <v>3</v>
      </c>
      <c r="C4" s="15"/>
      <c r="D4" s="16">
        <f>SUM(C9:E16)+SUM(C20:E25)+SUM(C29:E33)+SUM(C37:E44)+SUM(C48:E55)+SUM(C59:C63)</f>
        <v>0</v>
      </c>
      <c r="E4" s="17" t="s">
        <v>4</v>
      </c>
      <c r="F4" s="18">
        <f>SUM(F9,F10,F11,F12,F13,F14,F15,F16,F20,F21,F22,F23,F24,F25,F29,F30,F31,F32,F33,F37,F38,F39,F40,F41,F42,F43,F44,F48,F49,F50,F51,F52,F53,F54,F55,F59,F60,F61,F62,F63,F67,F68,F69,F70,F71,F72,F73,F74,F75,F76,F77,F78,F79,F80,F81)</f>
        <v>0</v>
      </c>
      <c r="G4" s="1"/>
      <c r="H4" s="19" t="b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0"/>
      <c r="C5" s="21"/>
      <c r="D5" s="22"/>
      <c r="E5" s="22"/>
      <c r="F5" s="2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3" t="s">
        <v>5</v>
      </c>
      <c r="C7" s="24"/>
      <c r="D7" s="24"/>
      <c r="E7" s="24"/>
      <c r="F7" s="2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6" t="s">
        <v>6</v>
      </c>
      <c r="C8" s="26" t="s">
        <v>7</v>
      </c>
      <c r="D8" s="26" t="s">
        <v>8</v>
      </c>
      <c r="E8" s="26" t="s">
        <v>9</v>
      </c>
      <c r="F8" s="27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8" t="s">
        <v>11</v>
      </c>
      <c r="C9" s="29"/>
      <c r="D9" s="29"/>
      <c r="E9" s="29"/>
      <c r="F9" s="30">
        <f t="array" ref="F9">IFERROR(IF(ISNUMBER(INDEX(Price_and_Sizes!$C$5:$E$5,1,IF(TOTAL_UNITS&lt;=9,1,IF(TOTAL_UNITS&lt;=19,2,3)))),INDEX(Price_and_Sizes!$C$5:$E$5,1,IF(TOTAL_UNITS&lt;=9,1,IF(TOTAL_UNITS&lt;=19,2,3)))*(C9*COLOR_WB+D9*COLOR_DC+E9*COLOR_BB),0),0)</f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 t="s">
        <v>12</v>
      </c>
      <c r="C10" s="29"/>
      <c r="D10" s="29"/>
      <c r="E10" s="29"/>
      <c r="F10" s="30">
        <f t="array" ref="F10">IFERROR(IF(ISNUMBER(INDEX(Price_and_Sizes!$C$6:$E$6,1,IF(TOTAL_UNITS&lt;=9,1,IF(TOTAL_UNITS&lt;=19,2,3)))),INDEX(Price_and_Sizes!$C$6:$E$6,1,IF(TOTAL_UNITS&lt;=9,1,IF(TOTAL_UNITS&lt;=19,2,3)))*(C10*COLOR_WB+D10*COLOR_DC+E10*COLOR_BB),0),0)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8" t="s">
        <v>13</v>
      </c>
      <c r="C11" s="29"/>
      <c r="D11" s="29"/>
      <c r="E11" s="29"/>
      <c r="F11" s="30">
        <f t="array" ref="F11">IFERROR(IF(ISNUMBER(INDEX(Price_and_Sizes!$C$7:$E$7,1,IF(TOTAL_UNITS&lt;=9,1,IF(TOTAL_UNITS&lt;=19,2,3)))),INDEX(Price_and_Sizes!$C$7:$E$7,1,IF(TOTAL_UNITS&lt;=9,1,IF(TOTAL_UNITS&lt;=19,2,3)))*(C11*COLOR_WB+D11*COLOR_DC+E11*COLOR_BB),0),0)</f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8" t="s">
        <v>14</v>
      </c>
      <c r="C12" s="29"/>
      <c r="D12" s="29"/>
      <c r="E12" s="29"/>
      <c r="F12" s="30">
        <f t="array" ref="F12">IFERROR(IF(ISNUMBER(INDEX(Price_and_Sizes!$C$7:$E$7,1,IF(TOTAL_UNITS&lt;=9,1,IF(TOTAL_UNITS&lt;=19,2,3)))),INDEX(Price_and_Sizes!$C$7:$E$7,1,IF(TOTAL_UNITS&lt;=9,1,IF(TOTAL_UNITS&lt;=19,2,3)))*(C12*COLOR_WB+D12*COLOR_DC+E12*COLOR_BB),0),0)</f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15</v>
      </c>
      <c r="C13" s="29"/>
      <c r="D13" s="29"/>
      <c r="E13" s="29"/>
      <c r="F13" s="30">
        <f t="array" ref="F13">IFERROR(IF(ISNUMBER(INDEX(Price_and_Sizes!$C$9:$E$9,1,IF(TOTAL_UNITS&lt;=9,1,IF(TOTAL_UNITS&lt;=19,2,3)))),INDEX(Price_and_Sizes!$C$9:$E$9,1,IF(TOTAL_UNITS&lt;=9,1,IF(TOTAL_UNITS&lt;=19,2,3)))*(C13*COLOR_WB+D13*COLOR_DC+E13*COLOR_BB),0),0)</f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 t="s">
        <v>16</v>
      </c>
      <c r="C14" s="29"/>
      <c r="D14" s="29"/>
      <c r="E14" s="29"/>
      <c r="F14" s="30">
        <f t="array" ref="F14">IFERROR(IF(ISNUMBER(INDEX(Price_and_Sizes!$C$10:$E$10,1,IF(TOTAL_UNITS&lt;=9,1,IF(TOTAL_UNITS&lt;=19,2,3)))),INDEX(Price_and_Sizes!$C$10:$E$10,1,IF(TOTAL_UNITS&lt;=9,1,IF(TOTAL_UNITS&lt;=19,2,3)))*(C14*COLOR_WB+D14*COLOR_DC+E14*COLOR_BB),0),0)</f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 t="s">
        <v>17</v>
      </c>
      <c r="C15" s="29"/>
      <c r="D15" s="29"/>
      <c r="E15" s="29"/>
      <c r="F15" s="30">
        <f t="array" ref="F15">IFERROR(IF(ISNUMBER(INDEX(Price_and_Sizes!$C$11:$E$11,1,IF(TOTAL_UNITS&lt;=9,1,IF(TOTAL_UNITS&lt;=19,2,3)))),INDEX(Price_and_Sizes!$C$11:$E$11,1,IF(TOTAL_UNITS&lt;=9,1,IF(TOTAL_UNITS&lt;=19,2,3)))*(C15*COLOR_WB+D15*COLOR_DC+E15*COLOR_BB),0),0)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8" t="s">
        <v>18</v>
      </c>
      <c r="C16" s="29"/>
      <c r="D16" s="29"/>
      <c r="E16" s="29"/>
      <c r="F16" s="30">
        <f t="array" ref="F16">IFERROR(IF(ISNUMBER(INDEX(Price_and_Sizes!$C$12:$E$12,1,IF(TOTAL_UNITS&lt;=9,1,IF(TOTAL_UNITS&lt;=19,2,3)))),INDEX(Price_and_Sizes!$C$12:$E$12,1,IF(TOTAL_UNITS&lt;=9,1,IF(TOTAL_UNITS&lt;=19,2,3)))*(C16*COLOR_WB+D16*COLOR_DC+E16*COLOR_BB),0),0)</f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3" t="s">
        <v>19</v>
      </c>
      <c r="C18" s="24"/>
      <c r="D18" s="24"/>
      <c r="E18" s="24"/>
      <c r="F18" s="2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6" t="s">
        <v>6</v>
      </c>
      <c r="C19" s="26" t="s">
        <v>7</v>
      </c>
      <c r="D19" s="26" t="s">
        <v>8</v>
      </c>
      <c r="E19" s="26" t="s">
        <v>9</v>
      </c>
      <c r="F19" s="27" t="s">
        <v>10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8" t="s">
        <v>20</v>
      </c>
      <c r="C20" s="29"/>
      <c r="D20" s="29"/>
      <c r="E20" s="29"/>
      <c r="F20" s="30">
        <f t="array" ref="F20">IFERROR(IF(ISNUMBER(INDEX(Price_and_Sizes!$C$16:$D$16,1,IF(TOTAL_UNITS&lt;=14,1,2))),INDEX(Price_and_Sizes!$C$16:$D$16,1,IF(TOTAL_UNITS&lt;=14,1,2))*(C20*COLOR_WB+D20*COLOR_DC+E20*COLOR_BB),0),0)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8" t="s">
        <v>21</v>
      </c>
      <c r="C21" s="29"/>
      <c r="D21" s="29"/>
      <c r="E21" s="29"/>
      <c r="F21" s="30">
        <f t="array" ref="F21">IFERROR(IF(ISNUMBER(INDEX(Price_and_Sizes!$C$17:$D$17,1,IF(TOTAL_UNITS&lt;=14,1,2))),INDEX(Price_and_Sizes!$C$17:$D$17,1,IF(TOTAL_UNITS&lt;=14,1,2))*(C21*COLOR_WB+D21*COLOR_DC+E21*COLOR_BB),0),0)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8" t="s">
        <v>22</v>
      </c>
      <c r="C22" s="29"/>
      <c r="D22" s="29"/>
      <c r="E22" s="29"/>
      <c r="F22" s="30">
        <f t="array" ref="F22">IFERROR(IF(ISNUMBER(INDEX(Price_and_Sizes!$C$18:$D$18,1,IF(TOTAL_UNITS&lt;=14,1,2))),INDEX(Price_and_Sizes!$C$18:$D$18,1,IF(TOTAL_UNITS&lt;=14,1,2))*(C22*COLOR_WB+D22*COLOR_DC+E22*COLOR_BB),0),0)</f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8" t="s">
        <v>23</v>
      </c>
      <c r="C23" s="29"/>
      <c r="D23" s="29"/>
      <c r="E23" s="29"/>
      <c r="F23" s="30">
        <f t="array" ref="F23">IFERROR(IF(ISNUMBER(INDEX(Price_and_Sizes!$C$19:$D$19,1,IF(TOTAL_UNITS&lt;=14,1,2))),INDEX(Price_and_Sizes!$C$19:$D$19,1,IF(TOTAL_UNITS&lt;=14,1,2))*(C23*COLOR_WB+D23*COLOR_DC+E23*COLOR_BB),0),0)</f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8" t="s">
        <v>24</v>
      </c>
      <c r="C24" s="29"/>
      <c r="D24" s="29"/>
      <c r="E24" s="29"/>
      <c r="F24" s="30">
        <f t="array" ref="F24">IFERROR(IF(ISNUMBER(INDEX(Price_and_Sizes!$C$20:$D$20,1,IF(TOTAL_UNITS&lt;=14,1,2))),INDEX(Price_and_Sizes!$C$20:$D$20,1,IF(TOTAL_UNITS&lt;=14,1,2))*(C24*COLOR_WB+D24*COLOR_DC+E24*COLOR_BB),0),0)</f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8" t="s">
        <v>25</v>
      </c>
      <c r="C25" s="29"/>
      <c r="D25" s="29"/>
      <c r="E25" s="29"/>
      <c r="F25" s="30">
        <f t="array" ref="F25">IFERROR(IF(ISNUMBER(INDEX(Price_and_Sizes!$C$21:$D$21,1,IF(TOTAL_UNITS&lt;=14,1,2))),INDEX(Price_and_Sizes!$C$21:$D$21,1,IF(TOTAL_UNITS&lt;=14,1,2))*(C25*COLOR_WB+D25*COLOR_DC+E25*COLOR_BB),0),0)</f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3" t="s">
        <v>26</v>
      </c>
      <c r="C27" s="24"/>
      <c r="D27" s="24"/>
      <c r="E27" s="24"/>
      <c r="F27" s="2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6" t="s">
        <v>6</v>
      </c>
      <c r="C28" s="26" t="s">
        <v>7</v>
      </c>
      <c r="D28" s="26" t="s">
        <v>8</v>
      </c>
      <c r="E28" s="26" t="s">
        <v>9</v>
      </c>
      <c r="F28" s="27" t="s">
        <v>10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8" t="s">
        <v>11</v>
      </c>
      <c r="C29" s="29"/>
      <c r="D29" s="29"/>
      <c r="E29" s="29"/>
      <c r="F29" s="30">
        <f t="array" ref="F29">IFERROR(IF(ISNUMBER(INDEX(Price_and_Sizes!$C$25:$D$25,1,IF(TOTAL_UNITS&lt;=14,1,2))),INDEX(Price_and_Sizes!$C$25:$D$25,1,IF(TOTAL_UNITS&lt;=14,1,2))*(C29*COLOR_WB+D29*COLOR_DC+E29*COLOR_BB),0),0)</f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8" t="s">
        <v>12</v>
      </c>
      <c r="C30" s="29"/>
      <c r="D30" s="29"/>
      <c r="E30" s="29"/>
      <c r="F30" s="30">
        <f t="array" ref="F30">IFERROR(IF(ISNUMBER(INDEX(Price_and_Sizes!$C$26:$D$26,1,IF(TOTAL_UNITS&lt;=14,1,2))),INDEX(Price_and_Sizes!$C$26:$D$26,1,IF(TOTAL_UNITS&lt;=14,1,2))*(C30*COLOR_WB+D30*COLOR_DC+E30*COLOR_BB),0),0)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8" t="s">
        <v>13</v>
      </c>
      <c r="C31" s="29"/>
      <c r="D31" s="29"/>
      <c r="E31" s="29"/>
      <c r="F31" s="30">
        <f t="array" ref="F31">IFERROR(IF(ISNUMBER(INDEX(Price_and_Sizes!$C$27:$D$27,1,IF(TOTAL_UNITS&lt;=14,1,2))),INDEX(Price_and_Sizes!$C$27:$D$27,1,IF(TOTAL_UNITS&lt;=14,1,2))*(C31*COLOR_WB+D31*COLOR_DC+E31*COLOR_BB),0),0)</f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8" t="s">
        <v>14</v>
      </c>
      <c r="C32" s="29"/>
      <c r="D32" s="29"/>
      <c r="E32" s="29"/>
      <c r="F32" s="30">
        <f t="array" ref="F32">IFERROR(IF(ISNUMBER(INDEX(Price_and_Sizes!$C$28:$D$28,1,IF(TOTAL_UNITS&lt;=14,1,2))),INDEX(Price_and_Sizes!$C$28:$D$28,1,IF(TOTAL_UNITS&lt;=14,1,2))*(C32*COLOR_WB+D32*COLOR_DC+E32*COLOR_BB),0),0)</f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8" t="s">
        <v>15</v>
      </c>
      <c r="C33" s="29"/>
      <c r="D33" s="29"/>
      <c r="E33" s="29"/>
      <c r="F33" s="30">
        <f t="array" ref="F33">IFERROR(IF(ISNUMBER(INDEX(Price_and_Sizes!$C$29:$D$29,1,IF(TOTAL_UNITS&lt;=14,1,2))),INDEX(Price_and_Sizes!$C$29:$D$29,1,IF(TOTAL_UNITS&lt;=14,1,2))*(C33*COLOR_WB+D33*COLOR_DC+E33*COLOR_BB),0),0)</f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hidden="1" customHeight="1">
      <c r="A35" s="1"/>
      <c r="B35" s="31" t="s">
        <v>27</v>
      </c>
      <c r="C35" s="24"/>
      <c r="D35" s="24"/>
      <c r="E35" s="24"/>
      <c r="F35" s="2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hidden="1" customHeight="1">
      <c r="A36" s="1"/>
      <c r="B36" s="32" t="s">
        <v>6</v>
      </c>
      <c r="C36" s="32" t="s">
        <v>7</v>
      </c>
      <c r="D36" s="32" t="s">
        <v>8</v>
      </c>
      <c r="E36" s="32" t="s">
        <v>9</v>
      </c>
      <c r="F36" s="33" t="s">
        <v>10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hidden="1" customHeight="1">
      <c r="A37" s="1"/>
      <c r="B37" s="28" t="s">
        <v>28</v>
      </c>
      <c r="C37" s="34"/>
      <c r="D37" s="34"/>
      <c r="E37" s="34"/>
      <c r="F37" s="35">
        <f t="array" ref="F37">IFERROR(IF(ISNUMBER(INDEX(Price_and_Sizes!$C$33:$E$33,1,IF(TOTAL_UNITS&lt;=9,1,IF(TOTAL_UNITS&lt;=19,2,3)))),INDEX(Price_and_Sizes!$C$33:$E$33,1,IF(TOTAL_UNITS&lt;=9,1,IF(TOTAL_UNITS&lt;=19,2,3)))*(C37*COLOR_WB+D37*COLOR_DC+E37*COLOR_BB),0),0)</f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hidden="1" customHeight="1">
      <c r="A38" s="1"/>
      <c r="B38" s="28" t="s">
        <v>12</v>
      </c>
      <c r="C38" s="34"/>
      <c r="D38" s="34"/>
      <c r="E38" s="34"/>
      <c r="F38" s="35">
        <f t="array" ref="F38">IFERROR(IF(ISNUMBER(INDEX(Price_and_Sizes!$C$34:$E$34,1,IF(TOTAL_UNITS&lt;=9,1,IF(TOTAL_UNITS&lt;=19,2,3)))),INDEX(Price_and_Sizes!$C$34:$E$34,1,IF(TOTAL_UNITS&lt;=9,1,IF(TOTAL_UNITS&lt;=19,2,3)))*(C38*COLOR_WB+D38*COLOR_DC+E38*COLOR_BB),0),0)</f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hidden="1" customHeight="1">
      <c r="A39" s="1"/>
      <c r="B39" s="28" t="s">
        <v>13</v>
      </c>
      <c r="C39" s="34"/>
      <c r="D39" s="34"/>
      <c r="E39" s="34"/>
      <c r="F39" s="35">
        <f t="array" ref="F39">IFERROR(IF(ISNUMBER(INDEX(Price_and_Sizes!$C$35:$E$35,1,IF(TOTAL_UNITS&lt;=9,1,IF(TOTAL_UNITS&lt;=19,2,3)))),INDEX(Price_and_Sizes!$C$35:$E$35,1,IF(TOTAL_UNITS&lt;=9,1,IF(TOTAL_UNITS&lt;=19,2,3)))*(C39*COLOR_WB+D39*COLOR_DC+E39*COLOR_BB),0),0)</f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hidden="1" customHeight="1">
      <c r="A40" s="1"/>
      <c r="B40" s="28" t="s">
        <v>14</v>
      </c>
      <c r="C40" s="34"/>
      <c r="D40" s="34"/>
      <c r="E40" s="34"/>
      <c r="F40" s="35">
        <f t="array" ref="F40">IFERROR(IF(ISNUMBER(INDEX(Price_and_Sizes!$C$36:$E$36,1,IF(TOTAL_UNITS&lt;=9,1,IF(TOTAL_UNITS&lt;=19,2,3)))),INDEX(Price_and_Sizes!$C$36:$E$36,1,IF(TOTAL_UNITS&lt;=9,1,IF(TOTAL_UNITS&lt;=19,2,3)))*(C40*COLOR_WB+D40*COLOR_DC+E40*COLOR_BB),0),0)</f>
        <v>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hidden="1" customHeight="1">
      <c r="A41" s="1"/>
      <c r="B41" s="28" t="s">
        <v>15</v>
      </c>
      <c r="C41" s="34"/>
      <c r="D41" s="34"/>
      <c r="E41" s="34"/>
      <c r="F41" s="35">
        <f t="array" ref="F41">IFERROR(IF(ISNUMBER(INDEX(Price_and_Sizes!$C$37:$E$37,1,IF(TOTAL_UNITS&lt;=9,1,IF(TOTAL_UNITS&lt;=19,2,3)))),INDEX(Price_and_Sizes!$C$37:$E$37,1,IF(TOTAL_UNITS&lt;=9,1,IF(TOTAL_UNITS&lt;=19,2,3)))*(C41*COLOR_WB+D41*COLOR_DC+E41*COLOR_BB),0),0)</f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hidden="1" customHeight="1">
      <c r="A42" s="1"/>
      <c r="B42" s="28" t="s">
        <v>16</v>
      </c>
      <c r="C42" s="34"/>
      <c r="D42" s="34"/>
      <c r="E42" s="34"/>
      <c r="F42" s="35">
        <f t="array" ref="F42">IFERROR(IF(ISNUMBER(INDEX(Price_and_Sizes!$C$38:$E$38,1,IF(TOTAL_UNITS&lt;=9,1,IF(TOTAL_UNITS&lt;=19,2,3)))),INDEX(Price_and_Sizes!$C$38:$E$38,1,IF(TOTAL_UNITS&lt;=9,1,IF(TOTAL_UNITS&lt;=19,2,3)))*(C42*COLOR_WB+D42*COLOR_DC+E42*COLOR_BB),0),0)</f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hidden="1" customHeight="1">
      <c r="A43" s="1"/>
      <c r="B43" s="28" t="s">
        <v>17</v>
      </c>
      <c r="C43" s="34"/>
      <c r="D43" s="34"/>
      <c r="E43" s="34"/>
      <c r="F43" s="35">
        <f t="array" ref="F43">IFERROR(IF(ISNUMBER(INDEX(Price_and_Sizes!$C$39:$E$39,1,IF(TOTAL_UNITS&lt;=9,1,IF(TOTAL_UNITS&lt;=19,2,3)))),INDEX(Price_and_Sizes!$C$39:$E$39,1,IF(TOTAL_UNITS&lt;=9,1,IF(TOTAL_UNITS&lt;=19,2,3)))*(C43*COLOR_WB+D43*COLOR_DC+E43*COLOR_BB),0),0)</f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hidden="1" customHeight="1">
      <c r="A44" s="1"/>
      <c r="B44" s="28" t="s">
        <v>18</v>
      </c>
      <c r="C44" s="34"/>
      <c r="D44" s="34"/>
      <c r="E44" s="34"/>
      <c r="F44" s="35">
        <f t="array" ref="F44">IFERROR(IF(ISNUMBER(INDEX(Price_and_Sizes!$C$40:$E$40,1,IF(TOTAL_UNITS&lt;=9,1,IF(TOTAL_UNITS&lt;=19,2,3)))),INDEX(Price_and_Sizes!$C$40:$E$40,1,IF(TOTAL_UNITS&lt;=9,1,IF(TOTAL_UNITS&lt;=19,2,3)))*(C44*COLOR_WB+D44*COLOR_DC+E44*COLOR_BB),0),0)</f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hidden="1" customHeight="1">
      <c r="A46" s="1"/>
      <c r="B46" s="31" t="s">
        <v>29</v>
      </c>
      <c r="C46" s="24"/>
      <c r="D46" s="24"/>
      <c r="E46" s="24"/>
      <c r="F46" s="2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hidden="1" customHeight="1">
      <c r="A47" s="1"/>
      <c r="B47" s="32" t="s">
        <v>6</v>
      </c>
      <c r="C47" s="32" t="s">
        <v>7</v>
      </c>
      <c r="D47" s="32" t="s">
        <v>8</v>
      </c>
      <c r="E47" s="32" t="s">
        <v>9</v>
      </c>
      <c r="F47" s="33" t="s">
        <v>10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hidden="1" customHeight="1">
      <c r="A48" s="1"/>
      <c r="B48" s="28" t="s">
        <v>11</v>
      </c>
      <c r="C48" s="34"/>
      <c r="D48" s="34"/>
      <c r="E48" s="34"/>
      <c r="F48" s="35">
        <f t="array" ref="F48">IFERROR(IF(ISNUMBER(INDEX(Price_and_Sizes!$C$44:$E$44,1,IF(TOTAL_UNITS&lt;=9,1,IF(TOTAL_UNITS&lt;=19,2,3)))),INDEX(Price_and_Sizes!$C$44:$E$44,1,IF(TOTAL_UNITS&lt;=9,1,IF(TOTAL_UNITS&lt;=19,2,3)))*(C48*COLOR_WB+D48*COLOR_DC+E48*COLOR_BB),0),0)</f>
        <v>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hidden="1" customHeight="1">
      <c r="A49" s="1"/>
      <c r="B49" s="28" t="s">
        <v>12</v>
      </c>
      <c r="C49" s="34"/>
      <c r="D49" s="34"/>
      <c r="E49" s="34"/>
      <c r="F49" s="35">
        <f t="array" ref="F49">IFERROR(IF(ISNUMBER(INDEX(Price_and_Sizes!$C$45:$E$45,1,IF(TOTAL_UNITS&lt;=9,1,IF(TOTAL_UNITS&lt;=19,2,3)))),INDEX(Price_and_Sizes!$C$45:$E$45,1,IF(TOTAL_UNITS&lt;=9,1,IF(TOTAL_UNITS&lt;=19,2,3)))*(C49*COLOR_WB+D49*COLOR_DC+E49*COLOR_BB),0),0)</f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hidden="1" customHeight="1">
      <c r="A50" s="1"/>
      <c r="B50" s="28" t="s">
        <v>13</v>
      </c>
      <c r="C50" s="34"/>
      <c r="D50" s="34"/>
      <c r="E50" s="34"/>
      <c r="F50" s="35">
        <f t="array" ref="F50">IFERROR(IF(ISNUMBER(INDEX(Price_and_Sizes!$C$46:$E$46,1,IF(TOTAL_UNITS&lt;=9,1,IF(TOTAL_UNITS&lt;=19,2,3)))),INDEX(Price_and_Sizes!$C$46:$E$46,1,IF(TOTAL_UNITS&lt;=9,1,IF(TOTAL_UNITS&lt;=19,2,3)))*(C50*COLOR_WB+D50*COLOR_DC+E50*COLOR_BB),0),0)</f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hidden="1" customHeight="1">
      <c r="A51" s="1"/>
      <c r="B51" s="28" t="s">
        <v>14</v>
      </c>
      <c r="C51" s="34"/>
      <c r="D51" s="34"/>
      <c r="E51" s="34"/>
      <c r="F51" s="35">
        <f t="array" ref="F51">IFERROR(IF(ISNUMBER(INDEX(Price_and_Sizes!$C$47:$E$47,1,IF(TOTAL_UNITS&lt;=9,1,IF(TOTAL_UNITS&lt;=19,2,3)))),INDEX(Price_and_Sizes!$C$47:$E$47,1,IF(TOTAL_UNITS&lt;=9,1,IF(TOTAL_UNITS&lt;=19,2,3)))*(C51*COLOR_WB+D51*COLOR_DC+E51*COLOR_BB),0),0)</f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hidden="1" customHeight="1">
      <c r="A52" s="1"/>
      <c r="B52" s="28" t="s">
        <v>15</v>
      </c>
      <c r="C52" s="34"/>
      <c r="D52" s="34"/>
      <c r="E52" s="34"/>
      <c r="F52" s="35">
        <f t="array" ref="F52">IFERROR(IF(ISNUMBER(INDEX(Price_and_Sizes!$C$48:$E$48,1,IF(TOTAL_UNITS&lt;=9,1,IF(TOTAL_UNITS&lt;=19,2,3)))),INDEX(Price_and_Sizes!$C$48:$E$48,1,IF(TOTAL_UNITS&lt;=9,1,IF(TOTAL_UNITS&lt;=19,2,3)))*(C52*COLOR_WB+D52*COLOR_DC+E52*COLOR_BB),0),0)</f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hidden="1" customHeight="1">
      <c r="A53" s="1"/>
      <c r="B53" s="28" t="s">
        <v>16</v>
      </c>
      <c r="C53" s="34"/>
      <c r="D53" s="34"/>
      <c r="E53" s="34"/>
      <c r="F53" s="35">
        <f t="array" ref="F53">IFERROR(IF(ISNUMBER(INDEX(Price_and_Sizes!$C$49:$E$49,1,IF(TOTAL_UNITS&lt;=9,1,IF(TOTAL_UNITS&lt;=19,2,3)))),INDEX(Price_and_Sizes!$C$49:$E$49,1,IF(TOTAL_UNITS&lt;=9,1,IF(TOTAL_UNITS&lt;=19,2,3)))*(C53*COLOR_WB+D53*COLOR_DC+E53*COLOR_BB),0),0)</f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hidden="1" customHeight="1">
      <c r="A54" s="1"/>
      <c r="B54" s="28" t="s">
        <v>17</v>
      </c>
      <c r="C54" s="34"/>
      <c r="D54" s="34"/>
      <c r="E54" s="34"/>
      <c r="F54" s="35">
        <f t="array" ref="F54">IFERROR(IF(ISNUMBER(INDEX(Price_and_Sizes!$C$50:$E$50,1,IF(TOTAL_UNITS&lt;=9,1,IF(TOTAL_UNITS&lt;=19,2,3)))),INDEX(Price_and_Sizes!$C$50:$E$50,1,IF(TOTAL_UNITS&lt;=9,1,IF(TOTAL_UNITS&lt;=19,2,3)))*(C54*COLOR_WB+D54*COLOR_DC+E54*COLOR_BB),0),0)</f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hidden="1" customHeight="1">
      <c r="A55" s="1"/>
      <c r="B55" s="28" t="s">
        <v>18</v>
      </c>
      <c r="C55" s="34"/>
      <c r="D55" s="34"/>
      <c r="E55" s="34"/>
      <c r="F55" s="35">
        <f t="array" ref="F55">IFERROR(IF(ISNUMBER(INDEX(Price_and_Sizes!$C$51:$E$51,1,IF(TOTAL_UNITS&lt;=9,1,IF(TOTAL_UNITS&lt;=19,2,3)))),INDEX(Price_and_Sizes!$C$51:$E$51,1,IF(TOTAL_UNITS&lt;=9,1,IF(TOTAL_UNITS&lt;=19,2,3)))*(C55*COLOR_WB+D55*COLOR_DC+E55*COLOR_BB),0),0)</f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3" t="s">
        <v>30</v>
      </c>
      <c r="C57" s="24"/>
      <c r="D57" s="24"/>
      <c r="E57" s="24"/>
      <c r="F57" s="2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6" t="s">
        <v>31</v>
      </c>
      <c r="C58" s="26" t="s">
        <v>32</v>
      </c>
      <c r="D58" s="26"/>
      <c r="E58" s="26"/>
      <c r="F58" s="27" t="s">
        <v>10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8" t="s">
        <v>33</v>
      </c>
      <c r="C59" s="29"/>
      <c r="D59" s="36"/>
      <c r="E59" s="36"/>
      <c r="F59" s="30">
        <f>IFERROR(C59*Price_and_Sizes!$C$55,0)</f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8" t="s">
        <v>34</v>
      </c>
      <c r="C60" s="29"/>
      <c r="D60" s="36"/>
      <c r="E60" s="36"/>
      <c r="F60" s="30">
        <f>IFERROR(C60*Price_and_Sizes!$C$56,0)</f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8" t="s">
        <v>35</v>
      </c>
      <c r="C61" s="29"/>
      <c r="D61" s="36"/>
      <c r="E61" s="36"/>
      <c r="F61" s="30">
        <f>IFERROR(C61*Price_and_Sizes!$C$57,0)</f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8" t="s">
        <v>36</v>
      </c>
      <c r="C62" s="29"/>
      <c r="D62" s="36"/>
      <c r="E62" s="36"/>
      <c r="F62" s="30">
        <f>IFERROR(C62*Price_and_Sizes!$C$58,0)</f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8" t="s">
        <v>37</v>
      </c>
      <c r="C63" s="29"/>
      <c r="D63" s="36"/>
      <c r="E63" s="36"/>
      <c r="F63" s="30">
        <f>IFERROR(C63*Price_and_Sizes!$C$59,0)</f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3" t="s">
        <v>38</v>
      </c>
      <c r="C65" s="24"/>
      <c r="D65" s="24"/>
      <c r="E65" s="24"/>
      <c r="F65" s="2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6" t="s">
        <v>31</v>
      </c>
      <c r="C66" s="26" t="s">
        <v>32</v>
      </c>
      <c r="D66" s="26"/>
      <c r="E66" s="26"/>
      <c r="F66" s="27" t="s">
        <v>10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8" t="s">
        <v>39</v>
      </c>
      <c r="C67" s="29"/>
      <c r="D67" s="36"/>
      <c r="E67" s="36"/>
      <c r="F67" s="30">
        <f>IFERROR(C67*Price_and_Sizes!$C$63,0)</f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8" t="s">
        <v>40</v>
      </c>
      <c r="C68" s="29"/>
      <c r="D68" s="36"/>
      <c r="E68" s="36"/>
      <c r="F68" s="30">
        <f>IFERROR(C68*Price_and_Sizes!$C$64,0)</f>
        <v>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8" t="s">
        <v>41</v>
      </c>
      <c r="C69" s="29"/>
      <c r="D69" s="36"/>
      <c r="E69" s="36"/>
      <c r="F69" s="30">
        <f>IFERROR(C69*Price_and_Sizes!$C$65,0)</f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8" t="s">
        <v>42</v>
      </c>
      <c r="C70" s="29"/>
      <c r="D70" s="36"/>
      <c r="E70" s="36"/>
      <c r="F70" s="30">
        <f>IFERROR(C70*Price_and_Sizes!$C$66,0)</f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8" t="s">
        <v>43</v>
      </c>
      <c r="C71" s="29"/>
      <c r="D71" s="36"/>
      <c r="E71" s="36"/>
      <c r="F71" s="30">
        <f>IFERROR(C71*Price_and_Sizes!$C$67,0)</f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8" t="s">
        <v>44</v>
      </c>
      <c r="C72" s="29"/>
      <c r="D72" s="36"/>
      <c r="E72" s="36"/>
      <c r="F72" s="30">
        <f>IFERROR(C72*Price_and_Sizes!$C$68,0)</f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8" t="s">
        <v>45</v>
      </c>
      <c r="C73" s="29"/>
      <c r="D73" s="36"/>
      <c r="E73" s="36"/>
      <c r="F73" s="30">
        <f>IFERROR(C73*Price_and_Sizes!$C$69,0)</f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8" t="s">
        <v>46</v>
      </c>
      <c r="C74" s="29"/>
      <c r="D74" s="36"/>
      <c r="E74" s="36"/>
      <c r="F74" s="30">
        <f>IFERROR(C74*Price_and_Sizes!$C$70,0)</f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8" t="s">
        <v>47</v>
      </c>
      <c r="C75" s="29"/>
      <c r="D75" s="36"/>
      <c r="E75" s="36"/>
      <c r="F75" s="30">
        <f>IFERROR(C75*Price_and_Sizes!$C$71,0)</f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8" t="s">
        <v>48</v>
      </c>
      <c r="C76" s="29"/>
      <c r="D76" s="36"/>
      <c r="E76" s="36"/>
      <c r="F76" s="30">
        <f>IFERROR(C76*Price_and_Sizes!$C$72,0)</f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8" t="s">
        <v>49</v>
      </c>
      <c r="C77" s="29"/>
      <c r="D77" s="36"/>
      <c r="E77" s="36"/>
      <c r="F77" s="30">
        <f>IFERROR(C77*Price_and_Sizes!$C$73,0)</f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8" t="s">
        <v>50</v>
      </c>
      <c r="C78" s="29"/>
      <c r="D78" s="36"/>
      <c r="E78" s="36"/>
      <c r="F78" s="30">
        <f>IFERROR(C78*Price_and_Sizes!$C$74,0)</f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8" t="s">
        <v>51</v>
      </c>
      <c r="C79" s="29"/>
      <c r="D79" s="36"/>
      <c r="E79" s="36"/>
      <c r="F79" s="30">
        <f>IFERROR(C79*Price_and_Sizes!$C$75,0)</f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8" t="s">
        <v>52</v>
      </c>
      <c r="C80" s="29"/>
      <c r="D80" s="36"/>
      <c r="E80" s="36"/>
      <c r="F80" s="30">
        <f>IFERROR(C80*Price_and_Sizes!$C$76,0)</f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8" t="s">
        <v>53</v>
      </c>
      <c r="C81" s="29"/>
      <c r="D81" s="36"/>
      <c r="E81" s="36"/>
      <c r="F81" s="30">
        <f>IFERROR(C81*Price_and_Sizes!$C$77,0)</f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37" t="s">
        <v>54</v>
      </c>
      <c r="C83" s="38">
        <f>SUM(C9:E16)+SUM(C20:E25)+SUM(C29:E33)+SUM(C37:E44)+SUM(C48:E55)</f>
        <v>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7:F7"/>
    <mergeCell ref="B18:F18"/>
    <mergeCell ref="B27:F27"/>
    <mergeCell ref="B35:F35"/>
    <mergeCell ref="B46:F46"/>
    <mergeCell ref="B57:F57"/>
    <mergeCell ref="B65:F65"/>
    <mergeCell ref="B1:F2"/>
    <mergeCell ref="B3:C3"/>
    <mergeCell ref="D3:F3"/>
    <mergeCell ref="B4:C5"/>
    <mergeCell ref="D4:D5"/>
    <mergeCell ref="E4:E5"/>
    <mergeCell ref="F4:F5"/>
  </mergeCells>
  <dataValidations>
    <dataValidation type="list" allowBlank="1" showErrorMessage="1" sqref="C9:E16 C20:E25 C29:E33 C59:C63 C67:C81">
      <formula1>"0,1,2,3,4,5,6,7,8,9,10,11,12,13,14,15,16,17,18,19,20,21,22,23,24,25,26,27,28,29,30"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6" width="13.0"/>
    <col customWidth="1" min="7" max="7" width="2.0"/>
    <col customWidth="1" min="8" max="8" width="24.0"/>
    <col customWidth="1" min="9" max="10" width="12.0"/>
    <col customWidth="1" min="11" max="12" width="14.0"/>
    <col customWidth="1" min="13" max="26" width="8.71"/>
  </cols>
  <sheetData>
    <row r="2">
      <c r="B2" s="39" t="s">
        <v>55</v>
      </c>
      <c r="C2" s="24"/>
      <c r="D2" s="24"/>
      <c r="E2" s="25"/>
      <c r="F2" s="40"/>
      <c r="H2" s="39" t="s">
        <v>56</v>
      </c>
      <c r="I2" s="24"/>
      <c r="J2" s="24"/>
      <c r="K2" s="24"/>
      <c r="L2" s="25"/>
    </row>
    <row r="3">
      <c r="B3" s="8" t="s">
        <v>5</v>
      </c>
      <c r="C3" s="11"/>
      <c r="D3" s="11"/>
      <c r="E3" s="9"/>
      <c r="H3" s="8" t="s">
        <v>5</v>
      </c>
      <c r="I3" s="11"/>
      <c r="J3" s="11"/>
      <c r="K3" s="11"/>
      <c r="L3" s="9"/>
    </row>
    <row r="4">
      <c r="B4" s="26" t="s">
        <v>6</v>
      </c>
      <c r="C4" s="26" t="s">
        <v>57</v>
      </c>
      <c r="D4" s="26" t="s">
        <v>58</v>
      </c>
      <c r="E4" s="26" t="s">
        <v>59</v>
      </c>
      <c r="H4" s="26" t="s">
        <v>6</v>
      </c>
      <c r="I4" s="26" t="s">
        <v>60</v>
      </c>
      <c r="J4" s="26" t="s">
        <v>61</v>
      </c>
      <c r="K4" s="26" t="s">
        <v>62</v>
      </c>
      <c r="L4" s="26" t="s">
        <v>63</v>
      </c>
    </row>
    <row r="5">
      <c r="B5" s="41" t="s">
        <v>11</v>
      </c>
      <c r="C5" s="42">
        <v>2117.5</v>
      </c>
      <c r="D5" s="42">
        <v>2057.0</v>
      </c>
      <c r="E5" s="42">
        <v>1996.5</v>
      </c>
      <c r="H5" s="41" t="s">
        <v>64</v>
      </c>
      <c r="I5" s="43">
        <v>12.0</v>
      </c>
      <c r="J5" s="43">
        <v>50.0</v>
      </c>
      <c r="K5" s="43">
        <v>20.0</v>
      </c>
      <c r="L5" s="43">
        <v>72.0</v>
      </c>
    </row>
    <row r="6">
      <c r="B6" s="41" t="s">
        <v>12</v>
      </c>
      <c r="C6" s="42">
        <v>2117.5</v>
      </c>
      <c r="D6" s="42">
        <v>2057.0</v>
      </c>
      <c r="E6" s="42">
        <v>1996.5</v>
      </c>
      <c r="H6" s="41" t="s">
        <v>65</v>
      </c>
      <c r="I6" s="43">
        <v>18.5</v>
      </c>
      <c r="J6" s="43">
        <v>96.0</v>
      </c>
      <c r="K6" s="43">
        <v>11.25</v>
      </c>
      <c r="L6" s="43">
        <v>72.0</v>
      </c>
    </row>
    <row r="7">
      <c r="B7" s="41" t="s">
        <v>13</v>
      </c>
      <c r="C7" s="42">
        <v>2117.5</v>
      </c>
      <c r="D7" s="42">
        <v>2057.0</v>
      </c>
      <c r="E7" s="42">
        <v>1996.5</v>
      </c>
      <c r="H7" s="41" t="s">
        <v>66</v>
      </c>
      <c r="I7" s="43">
        <v>47.5</v>
      </c>
      <c r="J7" s="43">
        <v>120.0</v>
      </c>
      <c r="K7" s="43">
        <v>11.25</v>
      </c>
      <c r="L7" s="43">
        <v>72.0</v>
      </c>
    </row>
    <row r="8">
      <c r="B8" s="41" t="s">
        <v>14</v>
      </c>
      <c r="C8" s="42">
        <v>3025.0</v>
      </c>
      <c r="D8" s="42">
        <v>2873.75</v>
      </c>
      <c r="E8" s="42">
        <v>2722.5</v>
      </c>
      <c r="H8" s="41" t="s">
        <v>67</v>
      </c>
      <c r="I8" s="43">
        <v>9.5</v>
      </c>
      <c r="J8" s="43">
        <v>112.0</v>
      </c>
      <c r="K8" s="43">
        <v>9.5</v>
      </c>
      <c r="L8" s="43">
        <v>112.0</v>
      </c>
    </row>
    <row r="9">
      <c r="B9" s="41" t="s">
        <v>15</v>
      </c>
      <c r="C9" s="42">
        <v>3025.0</v>
      </c>
      <c r="D9" s="42">
        <v>2873.75</v>
      </c>
      <c r="E9" s="42">
        <v>2722.5</v>
      </c>
      <c r="H9" s="41" t="s">
        <v>68</v>
      </c>
      <c r="I9" s="43">
        <v>12.0</v>
      </c>
      <c r="J9" s="43">
        <v>112.0</v>
      </c>
      <c r="K9" s="43" t="s">
        <v>69</v>
      </c>
      <c r="L9" s="43">
        <v>108.0</v>
      </c>
    </row>
    <row r="10">
      <c r="B10" s="41" t="s">
        <v>16</v>
      </c>
      <c r="C10" s="42">
        <v>2450.25</v>
      </c>
      <c r="D10" s="42">
        <v>2450.25</v>
      </c>
      <c r="E10" s="42">
        <v>2450.25</v>
      </c>
    </row>
    <row r="11">
      <c r="B11" s="41" t="s">
        <v>17</v>
      </c>
      <c r="C11" s="42">
        <v>4204.75</v>
      </c>
      <c r="D11" s="42">
        <v>4204.75</v>
      </c>
      <c r="E11" s="42">
        <v>4204.75</v>
      </c>
      <c r="H11" s="39" t="s">
        <v>26</v>
      </c>
      <c r="I11" s="24"/>
      <c r="J11" s="24"/>
      <c r="K11" s="24"/>
      <c r="L11" s="25"/>
    </row>
    <row r="12">
      <c r="B12" s="41" t="s">
        <v>18</v>
      </c>
      <c r="C12" s="42">
        <v>3781.25</v>
      </c>
      <c r="D12" s="42">
        <v>3781.25</v>
      </c>
      <c r="E12" s="42">
        <v>3781.25</v>
      </c>
      <c r="H12" s="26" t="s">
        <v>6</v>
      </c>
      <c r="I12" s="26" t="s">
        <v>60</v>
      </c>
      <c r="J12" s="26" t="s">
        <v>61</v>
      </c>
      <c r="K12" s="26" t="s">
        <v>62</v>
      </c>
      <c r="L12" s="26" t="s">
        <v>63</v>
      </c>
    </row>
    <row r="13">
      <c r="H13" s="41" t="s">
        <v>70</v>
      </c>
      <c r="I13" s="43">
        <v>11.5</v>
      </c>
      <c r="J13" s="43">
        <v>96.0</v>
      </c>
      <c r="K13" s="43" t="s">
        <v>71</v>
      </c>
      <c r="L13" s="43" t="s">
        <v>72</v>
      </c>
    </row>
    <row r="14">
      <c r="B14" s="39" t="s">
        <v>19</v>
      </c>
      <c r="C14" s="24"/>
      <c r="D14" s="25"/>
      <c r="H14" s="41" t="s">
        <v>73</v>
      </c>
      <c r="I14" s="43">
        <v>23.5</v>
      </c>
      <c r="J14" s="43">
        <v>96.0</v>
      </c>
      <c r="K14" s="43">
        <v>11.5</v>
      </c>
      <c r="L14" s="43">
        <v>48.0</v>
      </c>
    </row>
    <row r="15">
      <c r="B15" s="26" t="s">
        <v>6</v>
      </c>
      <c r="C15" s="26" t="s">
        <v>74</v>
      </c>
      <c r="D15" s="26" t="s">
        <v>75</v>
      </c>
      <c r="H15" s="41" t="s">
        <v>76</v>
      </c>
      <c r="I15" s="43">
        <v>23.5</v>
      </c>
      <c r="J15" s="43">
        <v>47.0</v>
      </c>
      <c r="K15" s="43">
        <v>43.0</v>
      </c>
      <c r="L15" s="43">
        <v>96.0</v>
      </c>
    </row>
    <row r="16">
      <c r="B16" s="41" t="s">
        <v>20</v>
      </c>
      <c r="C16" s="42">
        <v>2208.25</v>
      </c>
      <c r="D16" s="42">
        <v>2147.75</v>
      </c>
      <c r="H16" s="41" t="s">
        <v>77</v>
      </c>
      <c r="I16" s="43">
        <v>23.5</v>
      </c>
      <c r="J16" s="43">
        <v>72.0</v>
      </c>
      <c r="K16" s="43">
        <v>18.0</v>
      </c>
      <c r="L16" s="43">
        <v>96.0</v>
      </c>
    </row>
    <row r="17">
      <c r="B17" s="41" t="s">
        <v>21</v>
      </c>
      <c r="C17" s="42">
        <v>2208.25</v>
      </c>
      <c r="D17" s="42">
        <v>2147.75</v>
      </c>
    </row>
    <row r="18">
      <c r="B18" s="41" t="s">
        <v>22</v>
      </c>
      <c r="C18" s="42">
        <v>3297.25</v>
      </c>
      <c r="D18" s="42">
        <v>3176.25</v>
      </c>
      <c r="H18" s="39" t="s">
        <v>30</v>
      </c>
      <c r="I18" s="24"/>
      <c r="J18" s="24"/>
      <c r="K18" s="24"/>
      <c r="L18" s="25"/>
    </row>
    <row r="19">
      <c r="B19" s="41" t="s">
        <v>23</v>
      </c>
      <c r="C19" s="42">
        <v>6745.75</v>
      </c>
      <c r="D19" s="42">
        <v>6564.25</v>
      </c>
      <c r="H19" s="26" t="s">
        <v>6</v>
      </c>
      <c r="I19" s="26" t="s">
        <v>60</v>
      </c>
      <c r="J19" s="26" t="s">
        <v>61</v>
      </c>
      <c r="K19" s="26" t="s">
        <v>62</v>
      </c>
      <c r="L19" s="26" t="s">
        <v>63</v>
      </c>
    </row>
    <row r="20">
      <c r="B20" s="41" t="s">
        <v>24</v>
      </c>
      <c r="C20" s="42">
        <v>8167.5</v>
      </c>
      <c r="D20" s="42">
        <v>8046.5</v>
      </c>
      <c r="H20" s="41" t="s">
        <v>78</v>
      </c>
      <c r="I20" s="43">
        <v>47.5</v>
      </c>
      <c r="J20" s="43">
        <v>120.0</v>
      </c>
      <c r="K20" s="43">
        <v>47.5</v>
      </c>
      <c r="L20" s="43">
        <v>96.0</v>
      </c>
    </row>
    <row r="21" ht="15.75" customHeight="1">
      <c r="B21" s="41" t="s">
        <v>25</v>
      </c>
      <c r="C21" s="42">
        <v>9256.5</v>
      </c>
      <c r="D21" s="42">
        <v>9135.5</v>
      </c>
      <c r="H21" s="41" t="s">
        <v>79</v>
      </c>
      <c r="I21" s="43">
        <v>71.5</v>
      </c>
      <c r="J21" s="43">
        <v>130.0</v>
      </c>
      <c r="K21" s="43">
        <v>47.5</v>
      </c>
      <c r="L21" s="43">
        <v>96.0</v>
      </c>
    </row>
    <row r="22" ht="15.75" customHeight="1">
      <c r="H22" s="41" t="s">
        <v>80</v>
      </c>
      <c r="I22" s="43">
        <v>95.5</v>
      </c>
      <c r="J22" s="43">
        <v>144.0</v>
      </c>
      <c r="K22" s="43">
        <v>47.5</v>
      </c>
      <c r="L22" s="43">
        <v>96.0</v>
      </c>
    </row>
    <row r="23" ht="15.75" customHeight="1">
      <c r="B23" s="39" t="s">
        <v>26</v>
      </c>
      <c r="C23" s="24"/>
      <c r="D23" s="25"/>
    </row>
    <row r="24" ht="15.75" customHeight="1">
      <c r="B24" s="26" t="s">
        <v>6</v>
      </c>
      <c r="C24" s="26" t="s">
        <v>74</v>
      </c>
      <c r="D24" s="26" t="s">
        <v>75</v>
      </c>
      <c r="H24" s="39" t="s">
        <v>81</v>
      </c>
      <c r="I24" s="24"/>
      <c r="J24" s="24"/>
      <c r="K24" s="24"/>
      <c r="L24" s="25"/>
    </row>
    <row r="25" ht="15.75" customHeight="1">
      <c r="B25" s="41" t="s">
        <v>11</v>
      </c>
      <c r="C25" s="42">
        <v>1603.25</v>
      </c>
      <c r="D25" s="42">
        <v>1542.75</v>
      </c>
      <c r="H25" s="26" t="s">
        <v>6</v>
      </c>
      <c r="I25" s="26" t="s">
        <v>60</v>
      </c>
      <c r="J25" s="26" t="s">
        <v>61</v>
      </c>
      <c r="K25" s="26" t="s">
        <v>62</v>
      </c>
      <c r="L25" s="26" t="s">
        <v>63</v>
      </c>
    </row>
    <row r="26" ht="15.75" customHeight="1">
      <c r="B26" s="41" t="s">
        <v>12</v>
      </c>
      <c r="C26" s="42">
        <v>1603.25</v>
      </c>
      <c r="D26" s="42">
        <v>1542.75</v>
      </c>
      <c r="H26" s="41" t="s">
        <v>82</v>
      </c>
      <c r="I26" s="43">
        <v>9.5</v>
      </c>
      <c r="J26" s="43">
        <v>86.0</v>
      </c>
      <c r="K26" s="43">
        <v>9.5</v>
      </c>
      <c r="L26" s="43">
        <v>86.0</v>
      </c>
    </row>
    <row r="27" ht="15.75" customHeight="1">
      <c r="B27" s="41" t="s">
        <v>13</v>
      </c>
      <c r="C27" s="42">
        <v>1603.25</v>
      </c>
      <c r="D27" s="42">
        <v>1542.75</v>
      </c>
      <c r="H27" s="41" t="s">
        <v>83</v>
      </c>
      <c r="I27" s="43">
        <v>27.0</v>
      </c>
      <c r="J27" s="43">
        <v>84.0</v>
      </c>
      <c r="K27" s="43">
        <v>13.5</v>
      </c>
      <c r="L27" s="43">
        <v>42.0</v>
      </c>
    </row>
    <row r="28" ht="15.75" customHeight="1">
      <c r="B28" s="41" t="s">
        <v>14</v>
      </c>
      <c r="C28" s="42">
        <v>2752.75</v>
      </c>
      <c r="D28" s="42">
        <v>2692.25</v>
      </c>
      <c r="H28" s="41" t="s">
        <v>83</v>
      </c>
      <c r="I28" s="43">
        <v>27.0</v>
      </c>
      <c r="J28" s="43">
        <v>47.0</v>
      </c>
      <c r="K28" s="43">
        <v>43.0</v>
      </c>
      <c r="L28" s="43">
        <v>96.0</v>
      </c>
    </row>
    <row r="29" ht="15.75" customHeight="1">
      <c r="B29" s="41" t="s">
        <v>15</v>
      </c>
      <c r="C29" s="42">
        <v>2752.75</v>
      </c>
      <c r="D29" s="42">
        <v>2692.25</v>
      </c>
    </row>
    <row r="30" ht="15.75" customHeight="1">
      <c r="H30" s="39" t="s">
        <v>84</v>
      </c>
      <c r="I30" s="24"/>
      <c r="J30" s="24"/>
      <c r="K30" s="24"/>
      <c r="L30" s="25"/>
    </row>
    <row r="31" ht="15.75" customHeight="1">
      <c r="B31" s="39" t="s">
        <v>85</v>
      </c>
      <c r="C31" s="24"/>
      <c r="D31" s="24"/>
      <c r="E31" s="25"/>
      <c r="H31" s="26" t="s">
        <v>6</v>
      </c>
      <c r="I31" s="26" t="s">
        <v>60</v>
      </c>
      <c r="J31" s="26" t="s">
        <v>61</v>
      </c>
      <c r="K31" s="26" t="s">
        <v>62</v>
      </c>
      <c r="L31" s="26" t="s">
        <v>63</v>
      </c>
    </row>
    <row r="32" ht="15.75" customHeight="1">
      <c r="B32" s="26" t="s">
        <v>6</v>
      </c>
      <c r="C32" s="26" t="s">
        <v>57</v>
      </c>
      <c r="D32" s="26" t="s">
        <v>58</v>
      </c>
      <c r="E32" s="26" t="s">
        <v>59</v>
      </c>
      <c r="H32" s="41" t="s">
        <v>83</v>
      </c>
      <c r="I32" s="43">
        <v>27.0</v>
      </c>
      <c r="J32" s="43">
        <v>60.0</v>
      </c>
      <c r="K32" s="43">
        <v>27.0</v>
      </c>
      <c r="L32" s="43">
        <v>60.0</v>
      </c>
    </row>
    <row r="33" ht="15.75" customHeight="1">
      <c r="B33" s="41" t="s">
        <v>28</v>
      </c>
      <c r="C33" s="42"/>
      <c r="D33" s="42"/>
      <c r="E33" s="42"/>
      <c r="H33" s="41" t="s">
        <v>86</v>
      </c>
      <c r="I33" s="43">
        <v>27.0</v>
      </c>
      <c r="J33" s="43">
        <v>96.0</v>
      </c>
      <c r="K33" s="43">
        <v>13.5</v>
      </c>
      <c r="L33" s="43">
        <v>48.0</v>
      </c>
    </row>
    <row r="34" ht="15.75" customHeight="1">
      <c r="B34" s="41" t="s">
        <v>12</v>
      </c>
      <c r="C34" s="42"/>
      <c r="D34" s="42"/>
      <c r="E34" s="42"/>
      <c r="H34" s="41" t="s">
        <v>73</v>
      </c>
      <c r="I34" s="43">
        <v>27.0</v>
      </c>
      <c r="J34" s="43">
        <v>84.0</v>
      </c>
      <c r="K34" s="43">
        <v>15.0</v>
      </c>
      <c r="L34" s="43">
        <v>96.0</v>
      </c>
    </row>
    <row r="35" ht="15.75" customHeight="1">
      <c r="B35" s="41" t="s">
        <v>13</v>
      </c>
      <c r="C35" s="42"/>
      <c r="D35" s="42"/>
      <c r="E35" s="42"/>
      <c r="H35" s="41" t="s">
        <v>83</v>
      </c>
      <c r="I35" s="43">
        <v>27.0</v>
      </c>
      <c r="J35" s="43">
        <v>47.0</v>
      </c>
      <c r="K35" s="43">
        <v>43.0</v>
      </c>
      <c r="L35" s="43">
        <v>96.0</v>
      </c>
    </row>
    <row r="36" ht="15.75" customHeight="1">
      <c r="B36" s="41" t="s">
        <v>14</v>
      </c>
      <c r="C36" s="42"/>
      <c r="D36" s="42"/>
      <c r="E36" s="42"/>
    </row>
    <row r="37" ht="15.75" customHeight="1">
      <c r="B37" s="41" t="s">
        <v>15</v>
      </c>
      <c r="C37" s="42"/>
      <c r="D37" s="42"/>
      <c r="E37" s="42"/>
      <c r="H37" s="39" t="s">
        <v>87</v>
      </c>
      <c r="I37" s="24"/>
      <c r="J37" s="24"/>
      <c r="K37" s="24"/>
      <c r="L37" s="25"/>
    </row>
    <row r="38" ht="15.75" customHeight="1">
      <c r="B38" s="41" t="s">
        <v>16</v>
      </c>
      <c r="C38" s="42"/>
      <c r="D38" s="42"/>
      <c r="E38" s="42"/>
      <c r="H38" s="26" t="s">
        <v>6</v>
      </c>
      <c r="I38" s="26" t="s">
        <v>60</v>
      </c>
      <c r="J38" s="26" t="s">
        <v>61</v>
      </c>
      <c r="K38" s="26" t="s">
        <v>62</v>
      </c>
      <c r="L38" s="26" t="s">
        <v>63</v>
      </c>
    </row>
    <row r="39" ht="15.75" customHeight="1">
      <c r="B39" s="41" t="s">
        <v>17</v>
      </c>
      <c r="C39" s="42"/>
      <c r="D39" s="42"/>
      <c r="E39" s="42"/>
      <c r="H39" s="41" t="s">
        <v>20</v>
      </c>
      <c r="I39" s="44"/>
      <c r="J39" s="44"/>
      <c r="K39" s="44"/>
      <c r="L39" s="44"/>
    </row>
    <row r="40" ht="15.75" customHeight="1">
      <c r="B40" s="41" t="s">
        <v>18</v>
      </c>
      <c r="C40" s="42"/>
      <c r="D40" s="42"/>
      <c r="E40" s="42"/>
      <c r="H40" s="41" t="s">
        <v>21</v>
      </c>
      <c r="I40" s="44"/>
      <c r="J40" s="44"/>
      <c r="K40" s="44"/>
      <c r="L40" s="44"/>
    </row>
    <row r="41" ht="15.75" customHeight="1">
      <c r="H41" s="41" t="s">
        <v>22</v>
      </c>
      <c r="I41" s="44"/>
      <c r="J41" s="44"/>
      <c r="K41" s="44"/>
      <c r="L41" s="44"/>
    </row>
    <row r="42" ht="15.75" customHeight="1">
      <c r="B42" s="39" t="s">
        <v>88</v>
      </c>
      <c r="C42" s="24"/>
      <c r="D42" s="24"/>
      <c r="E42" s="25"/>
      <c r="H42" s="41" t="s">
        <v>23</v>
      </c>
      <c r="I42" s="44"/>
      <c r="J42" s="44"/>
      <c r="K42" s="44"/>
      <c r="L42" s="44"/>
    </row>
    <row r="43" ht="15.75" customHeight="1">
      <c r="B43" s="26" t="s">
        <v>6</v>
      </c>
      <c r="C43" s="26" t="s">
        <v>57</v>
      </c>
      <c r="D43" s="26" t="s">
        <v>58</v>
      </c>
      <c r="E43" s="26" t="s">
        <v>59</v>
      </c>
      <c r="H43" s="41" t="s">
        <v>24</v>
      </c>
      <c r="I43" s="44"/>
      <c r="J43" s="44"/>
      <c r="K43" s="44"/>
      <c r="L43" s="44"/>
    </row>
    <row r="44" ht="15.75" customHeight="1">
      <c r="B44" s="41" t="s">
        <v>11</v>
      </c>
      <c r="C44" s="42"/>
      <c r="D44" s="42"/>
      <c r="E44" s="42"/>
      <c r="H44" s="41" t="s">
        <v>25</v>
      </c>
      <c r="I44" s="44"/>
      <c r="J44" s="44"/>
      <c r="K44" s="44"/>
      <c r="L44" s="44"/>
    </row>
    <row r="45" ht="15.75" customHeight="1">
      <c r="B45" s="41" t="s">
        <v>12</v>
      </c>
      <c r="C45" s="42"/>
      <c r="D45" s="42"/>
      <c r="E45" s="42"/>
    </row>
    <row r="46" ht="15.75" customHeight="1">
      <c r="B46" s="41" t="s">
        <v>13</v>
      </c>
      <c r="C46" s="42"/>
      <c r="D46" s="42"/>
      <c r="E46" s="42"/>
      <c r="H46" s="39" t="s">
        <v>89</v>
      </c>
      <c r="I46" s="24"/>
      <c r="J46" s="24"/>
      <c r="K46" s="24"/>
      <c r="L46" s="25"/>
    </row>
    <row r="47" ht="15.75" customHeight="1">
      <c r="B47" s="41" t="s">
        <v>14</v>
      </c>
      <c r="C47" s="42"/>
      <c r="D47" s="42"/>
      <c r="E47" s="42"/>
      <c r="H47" s="26" t="s">
        <v>6</v>
      </c>
      <c r="I47" s="26" t="s">
        <v>60</v>
      </c>
      <c r="J47" s="26" t="s">
        <v>61</v>
      </c>
      <c r="K47" s="26" t="s">
        <v>62</v>
      </c>
      <c r="L47" s="26" t="s">
        <v>63</v>
      </c>
    </row>
    <row r="48" ht="15.75" customHeight="1">
      <c r="B48" s="41" t="s">
        <v>15</v>
      </c>
      <c r="C48" s="42"/>
      <c r="D48" s="42"/>
      <c r="E48" s="42"/>
      <c r="H48" s="41" t="s">
        <v>28</v>
      </c>
      <c r="I48" s="44"/>
      <c r="J48" s="44"/>
      <c r="K48" s="44"/>
      <c r="L48" s="44"/>
    </row>
    <row r="49" ht="15.75" customHeight="1">
      <c r="B49" s="41" t="s">
        <v>16</v>
      </c>
      <c r="C49" s="42"/>
      <c r="D49" s="42"/>
      <c r="E49" s="42"/>
      <c r="H49" s="41" t="s">
        <v>12</v>
      </c>
      <c r="I49" s="44"/>
      <c r="J49" s="44"/>
      <c r="K49" s="44"/>
      <c r="L49" s="44"/>
    </row>
    <row r="50" ht="15.75" customHeight="1">
      <c r="B50" s="41" t="s">
        <v>17</v>
      </c>
      <c r="C50" s="42"/>
      <c r="D50" s="42"/>
      <c r="E50" s="42"/>
      <c r="H50" s="41" t="s">
        <v>13</v>
      </c>
      <c r="I50" s="44"/>
      <c r="J50" s="44"/>
      <c r="K50" s="44"/>
      <c r="L50" s="44"/>
    </row>
    <row r="51" ht="15.75" customHeight="1">
      <c r="B51" s="41" t="s">
        <v>18</v>
      </c>
      <c r="C51" s="42"/>
      <c r="D51" s="42"/>
      <c r="E51" s="42"/>
      <c r="H51" s="41" t="s">
        <v>14</v>
      </c>
      <c r="I51" s="44"/>
      <c r="J51" s="44"/>
      <c r="K51" s="44"/>
      <c r="L51" s="44"/>
    </row>
    <row r="52" ht="15.75" customHeight="1">
      <c r="H52" s="41" t="s">
        <v>15</v>
      </c>
      <c r="I52" s="44"/>
      <c r="J52" s="44"/>
      <c r="K52" s="44"/>
      <c r="L52" s="44"/>
    </row>
    <row r="53" ht="15.75" customHeight="1">
      <c r="B53" s="39" t="s">
        <v>30</v>
      </c>
      <c r="C53" s="25"/>
      <c r="H53" s="41" t="s">
        <v>16</v>
      </c>
      <c r="I53" s="44"/>
      <c r="J53" s="44"/>
      <c r="K53" s="44"/>
      <c r="L53" s="44"/>
    </row>
    <row r="54" ht="15.75" customHeight="1">
      <c r="B54" s="26" t="s">
        <v>90</v>
      </c>
      <c r="C54" s="26" t="s">
        <v>91</v>
      </c>
      <c r="H54" s="41" t="s">
        <v>17</v>
      </c>
      <c r="I54" s="44"/>
      <c r="J54" s="44"/>
      <c r="K54" s="44"/>
      <c r="L54" s="44"/>
    </row>
    <row r="55" ht="15.75" customHeight="1">
      <c r="B55" s="41" t="s">
        <v>33</v>
      </c>
      <c r="C55" s="42">
        <v>4991.25</v>
      </c>
      <c r="H55" s="41" t="s">
        <v>18</v>
      </c>
      <c r="I55" s="44"/>
      <c r="J55" s="44"/>
      <c r="K55" s="44"/>
      <c r="L55" s="44"/>
    </row>
    <row r="56" ht="15.75" customHeight="1">
      <c r="B56" s="41" t="s">
        <v>34</v>
      </c>
      <c r="C56" s="42">
        <v>5626.5</v>
      </c>
    </row>
    <row r="57" ht="15.75" customHeight="1">
      <c r="B57" s="41" t="s">
        <v>35</v>
      </c>
      <c r="C57" s="42">
        <v>7683.5</v>
      </c>
      <c r="H57" s="39" t="s">
        <v>92</v>
      </c>
      <c r="I57" s="24"/>
      <c r="J57" s="24"/>
      <c r="K57" s="24"/>
      <c r="L57" s="25"/>
    </row>
    <row r="58" ht="15.75" customHeight="1">
      <c r="B58" s="41" t="s">
        <v>36</v>
      </c>
      <c r="C58" s="42">
        <v>9528.75</v>
      </c>
      <c r="H58" s="26" t="s">
        <v>6</v>
      </c>
      <c r="I58" s="26" t="s">
        <v>60</v>
      </c>
      <c r="J58" s="26" t="s">
        <v>61</v>
      </c>
      <c r="K58" s="26" t="s">
        <v>62</v>
      </c>
      <c r="L58" s="26" t="s">
        <v>63</v>
      </c>
    </row>
    <row r="59" ht="15.75" customHeight="1">
      <c r="B59" s="41" t="s">
        <v>37</v>
      </c>
      <c r="C59" s="42">
        <v>11525.25</v>
      </c>
      <c r="H59" s="41" t="s">
        <v>11</v>
      </c>
      <c r="I59" s="44"/>
      <c r="J59" s="44"/>
      <c r="K59" s="44"/>
      <c r="L59" s="44"/>
    </row>
    <row r="60" ht="15.75" customHeight="1">
      <c r="H60" s="41" t="s">
        <v>12</v>
      </c>
      <c r="I60" s="44"/>
      <c r="J60" s="44"/>
      <c r="K60" s="44"/>
      <c r="L60" s="44"/>
    </row>
    <row r="61" ht="15.75" customHeight="1">
      <c r="B61" s="39" t="s">
        <v>38</v>
      </c>
      <c r="C61" s="25"/>
      <c r="H61" s="41" t="s">
        <v>13</v>
      </c>
      <c r="I61" s="44"/>
      <c r="J61" s="44"/>
      <c r="K61" s="44"/>
      <c r="L61" s="44"/>
    </row>
    <row r="62" ht="15.75" customHeight="1">
      <c r="B62" s="26" t="s">
        <v>93</v>
      </c>
      <c r="C62" s="26" t="s">
        <v>91</v>
      </c>
      <c r="H62" s="41" t="s">
        <v>14</v>
      </c>
      <c r="I62" s="44"/>
      <c r="J62" s="44"/>
      <c r="K62" s="44"/>
      <c r="L62" s="44"/>
    </row>
    <row r="63" ht="15.75" customHeight="1">
      <c r="B63" s="41" t="s">
        <v>39</v>
      </c>
      <c r="C63" s="42">
        <v>242.0</v>
      </c>
      <c r="H63" s="41" t="s">
        <v>15</v>
      </c>
      <c r="I63" s="44"/>
      <c r="J63" s="44"/>
      <c r="K63" s="44"/>
      <c r="L63" s="44"/>
    </row>
    <row r="64" ht="15.75" customHeight="1">
      <c r="B64" s="41" t="s">
        <v>40</v>
      </c>
      <c r="C64" s="42">
        <v>121.0</v>
      </c>
      <c r="H64" s="41" t="s">
        <v>16</v>
      </c>
      <c r="I64" s="44"/>
      <c r="J64" s="44"/>
      <c r="K64" s="44"/>
      <c r="L64" s="44"/>
    </row>
    <row r="65" ht="15.75" customHeight="1">
      <c r="B65" s="41" t="s">
        <v>41</v>
      </c>
      <c r="C65" s="42">
        <v>121.0</v>
      </c>
      <c r="H65" s="41" t="s">
        <v>17</v>
      </c>
      <c r="I65" s="44"/>
      <c r="J65" s="44"/>
      <c r="K65" s="44"/>
      <c r="L65" s="44"/>
    </row>
    <row r="66" ht="15.75" customHeight="1">
      <c r="B66" s="41" t="s">
        <v>42</v>
      </c>
      <c r="C66" s="42">
        <v>121.0</v>
      </c>
      <c r="H66" s="41" t="s">
        <v>18</v>
      </c>
      <c r="I66" s="44"/>
      <c r="J66" s="44"/>
      <c r="K66" s="44"/>
      <c r="L66" s="44"/>
    </row>
    <row r="67" ht="15.75" customHeight="1">
      <c r="B67" s="41" t="s">
        <v>43</v>
      </c>
      <c r="C67" s="42">
        <v>423.5</v>
      </c>
    </row>
    <row r="68" ht="15.75" customHeight="1">
      <c r="B68" s="41" t="s">
        <v>44</v>
      </c>
      <c r="C68" s="42">
        <v>423.5</v>
      </c>
    </row>
    <row r="69" ht="15.75" customHeight="1">
      <c r="B69" s="41" t="s">
        <v>45</v>
      </c>
      <c r="C69" s="42">
        <v>108.9</v>
      </c>
      <c r="H69" s="45" t="s">
        <v>94</v>
      </c>
      <c r="I69" s="45"/>
      <c r="J69" s="45"/>
      <c r="K69" s="45"/>
      <c r="L69" s="45"/>
    </row>
    <row r="70" ht="15.75" customHeight="1">
      <c r="B70" s="41" t="s">
        <v>46</v>
      </c>
      <c r="C70" s="42">
        <v>151.25</v>
      </c>
    </row>
    <row r="71" ht="15.75" customHeight="1">
      <c r="B71" s="41" t="s">
        <v>47</v>
      </c>
      <c r="C71" s="42">
        <v>211.75</v>
      </c>
      <c r="H71" s="45" t="s">
        <v>95</v>
      </c>
      <c r="I71" s="45"/>
      <c r="J71" s="45"/>
      <c r="K71" s="45"/>
      <c r="L71" s="45"/>
    </row>
    <row r="72" ht="15.0" customHeight="1">
      <c r="B72" s="41" t="s">
        <v>48</v>
      </c>
      <c r="C72" s="42">
        <v>121.0</v>
      </c>
    </row>
    <row r="73" ht="15.75" customHeight="1">
      <c r="B73" s="41" t="s">
        <v>49</v>
      </c>
      <c r="C73" s="42">
        <v>363.0</v>
      </c>
    </row>
    <row r="74" ht="15.75" customHeight="1">
      <c r="B74" s="41" t="s">
        <v>50</v>
      </c>
      <c r="C74" s="42">
        <v>84.7</v>
      </c>
    </row>
    <row r="75" ht="15.75" customHeight="1">
      <c r="B75" s="41" t="s">
        <v>51</v>
      </c>
      <c r="C75" s="42">
        <v>423.5</v>
      </c>
    </row>
    <row r="76" ht="15.75" customHeight="1">
      <c r="B76" s="41" t="s">
        <v>52</v>
      </c>
      <c r="C76" s="42">
        <v>1179.75</v>
      </c>
    </row>
    <row r="77" ht="15.75" customHeight="1">
      <c r="B77" s="41" t="s">
        <v>53</v>
      </c>
      <c r="C77" s="42">
        <v>108.9</v>
      </c>
    </row>
    <row r="78" ht="15.75" customHeight="1"/>
    <row r="79" ht="15.75" customHeight="1">
      <c r="B79" s="39" t="s">
        <v>96</v>
      </c>
      <c r="C79" s="24"/>
      <c r="D79" s="25"/>
    </row>
    <row r="80" ht="15.75" customHeight="1">
      <c r="B80" s="26" t="s">
        <v>97</v>
      </c>
      <c r="C80" s="26" t="s">
        <v>98</v>
      </c>
      <c r="D80" s="26" t="s">
        <v>99</v>
      </c>
    </row>
    <row r="81" ht="15.75" customHeight="1">
      <c r="B81" s="41" t="s">
        <v>7</v>
      </c>
      <c r="C81" s="46">
        <v>1.0</v>
      </c>
      <c r="D81" s="47">
        <v>0.0</v>
      </c>
    </row>
    <row r="82" ht="15.75" customHeight="1">
      <c r="B82" s="41" t="s">
        <v>8</v>
      </c>
      <c r="C82" s="46">
        <v>1.1</v>
      </c>
      <c r="D82" s="47">
        <v>0.1</v>
      </c>
    </row>
    <row r="83" ht="15.75" customHeight="1">
      <c r="B83" s="41" t="s">
        <v>9</v>
      </c>
      <c r="C83" s="46">
        <v>1.25</v>
      </c>
      <c r="D83" s="47">
        <v>0.25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E2"/>
    <mergeCell ref="H2:L2"/>
    <mergeCell ref="B3:E3"/>
    <mergeCell ref="H3:L3"/>
    <mergeCell ref="H11:L11"/>
    <mergeCell ref="B14:D14"/>
    <mergeCell ref="H18:L18"/>
    <mergeCell ref="B53:C53"/>
    <mergeCell ref="H57:L57"/>
    <mergeCell ref="B61:C61"/>
    <mergeCell ref="B79:D79"/>
    <mergeCell ref="B23:D23"/>
    <mergeCell ref="H24:L24"/>
    <mergeCell ref="H30:L30"/>
    <mergeCell ref="B31:E31"/>
    <mergeCell ref="H37:L37"/>
    <mergeCell ref="B42:E42"/>
    <mergeCell ref="H46:L46"/>
  </mergeCells>
  <printOptions/>
  <pageMargins bottom="1.0" footer="0.0" header="0.0" left="0.75" right="0.75" top="1.0"/>
  <pageSetup paperSize="9" orientation="portrait"/>
  <drawing r:id="rId1"/>
</worksheet>
</file>